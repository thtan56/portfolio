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2\Downloads\"/>
    </mc:Choice>
  </mc:AlternateContent>
  <xr:revisionPtr revIDLastSave="0" documentId="13_ncr:1_{11D76A1E-6D42-4CD3-BB77-858FC3A583D2}" xr6:coauthVersionLast="45" xr6:coauthVersionMax="45" xr10:uidLastSave="{00000000-0000-0000-0000-000000000000}"/>
  <bookViews>
    <workbookView xWindow="7380" yWindow="5535" windowWidth="28800" windowHeight="15885" xr2:uid="{00000000-000D-0000-FFFF-FFFF00000000}"/>
  </bookViews>
  <sheets>
    <sheet name="UT Dividend-EPF" sheetId="6" r:id="rId1"/>
    <sheet name="Valuation-Orient" sheetId="35" r:id="rId2"/>
  </sheets>
  <functionGroups builtInGroupCount="19"/>
  <definedNames>
    <definedName name="DailyNavProfit">#REF!</definedName>
    <definedName name="dbDaily">#REF!</definedName>
    <definedName name="dbPL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onthQty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5" i="6" l="1"/>
  <c r="E18" i="6" s="1"/>
  <c r="P10" i="6"/>
  <c r="P12" i="6"/>
  <c r="P8" i="6"/>
  <c r="M15" i="6"/>
  <c r="N15" i="6"/>
  <c r="O15" i="6"/>
  <c r="L15" i="6"/>
  <c r="P15" i="6" s="1"/>
  <c r="H12" i="6"/>
  <c r="R11" i="6"/>
  <c r="S11" i="6" s="1"/>
  <c r="T11" i="6" s="1"/>
  <c r="G11" i="6"/>
  <c r="R9" i="6" l="1"/>
  <c r="H10" i="6"/>
  <c r="H8" i="6"/>
  <c r="G9" i="6"/>
  <c r="H15" i="6" l="1"/>
  <c r="E17" i="6" s="1"/>
  <c r="E19" i="6" s="1"/>
  <c r="J15" i="6"/>
  <c r="S9" i="6"/>
  <c r="R15" i="6"/>
  <c r="E20" i="6" s="1"/>
  <c r="E21" i="6" s="1"/>
  <c r="E22" i="6" s="1"/>
  <c r="T9" i="6"/>
  <c r="S15" i="6"/>
  <c r="T15" i="6" s="1"/>
  <c r="J8" i="6"/>
  <c r="J9" i="6" s="1"/>
  <c r="J10" i="6" s="1"/>
  <c r="J11" i="6" l="1"/>
  <c r="J12" i="6" s="1"/>
</calcChain>
</file>

<file path=xl/sharedStrings.xml><?xml version="1.0" encoding="utf-8"?>
<sst xmlns="http://schemas.openxmlformats.org/spreadsheetml/2006/main" count="89" uniqueCount="74">
  <si>
    <t>No</t>
  </si>
  <si>
    <t>Date Applied</t>
  </si>
  <si>
    <t>(RM)</t>
  </si>
  <si>
    <t>Value</t>
  </si>
  <si>
    <t xml:space="preserve">Key Value Investor Criteria: - </t>
  </si>
  <si>
    <t>Description</t>
  </si>
  <si>
    <t>Criteria</t>
  </si>
  <si>
    <t>Point</t>
  </si>
  <si>
    <t>Price to Tangible Book Ratio</t>
  </si>
  <si>
    <t>0.78*</t>
  </si>
  <si>
    <t>&lt; 1</t>
  </si>
  <si>
    <t>Stock Valuation</t>
  </si>
  <si>
    <t>CAPM =&gt; 3.04%</t>
  </si>
  <si>
    <t>Return (2008-2014) =&gt;9.13 %</t>
  </si>
  <si>
    <t>Undervalue by 6.09%</t>
  </si>
  <si>
    <t>CAPM &lt; Return</t>
  </si>
  <si>
    <t>Return on Asset</t>
  </si>
  <si>
    <t>3.83*</t>
  </si>
  <si>
    <t>&gt; 0</t>
  </si>
  <si>
    <t>Return on Common Equity</t>
  </si>
  <si>
    <t>6.72*</t>
  </si>
  <si>
    <t>Quick Ratio</t>
  </si>
  <si>
    <t>3.36*</t>
  </si>
  <si>
    <t>&gt;1</t>
  </si>
  <si>
    <t>Long term Debt / Total Capital</t>
  </si>
  <si>
    <t>0.03*</t>
  </si>
  <si>
    <t>&lt;50%</t>
  </si>
  <si>
    <t>Continue Dividend over Past 10 Years / Since Inception</t>
  </si>
  <si>
    <t>Yes</t>
  </si>
  <si>
    <t>Cash From Operation</t>
  </si>
  <si>
    <t>Positive &gt; 5 years</t>
  </si>
  <si>
    <t>Positive</t>
  </si>
  <si>
    <t>Total Point</t>
  </si>
  <si>
    <t>33/37</t>
  </si>
  <si>
    <t>5/5</t>
  </si>
  <si>
    <t>3/5</t>
  </si>
  <si>
    <t>4/5</t>
  </si>
  <si>
    <t>2/2</t>
  </si>
  <si>
    <t>Tan Thian Huat</t>
  </si>
  <si>
    <t>Walter Lim</t>
  </si>
  <si>
    <t>James Yim</t>
  </si>
  <si>
    <t>Ooi</t>
  </si>
  <si>
    <t>Balance</t>
  </si>
  <si>
    <t>Type</t>
  </si>
  <si>
    <t>Done</t>
  </si>
  <si>
    <t>Buy</t>
  </si>
  <si>
    <t>Units</t>
  </si>
  <si>
    <t>Unit Price
(sen)</t>
  </si>
  <si>
    <t>broker's fee</t>
  </si>
  <si>
    <t>Deposit</t>
  </si>
  <si>
    <t>Trust fund</t>
  </si>
  <si>
    <t>P&amp;L</t>
  </si>
  <si>
    <t>(%)</t>
  </si>
  <si>
    <t>NAV</t>
  </si>
  <si>
    <t>(Sen)</t>
  </si>
  <si>
    <t>Last Price</t>
  </si>
  <si>
    <t>Buy 80 lots of HuaAnn @ 36 sen</t>
  </si>
  <si>
    <t>Buy 30 lots of Tashin @ 34 sen</t>
  </si>
  <si>
    <t>4-6 Dec 19</t>
  </si>
  <si>
    <t>4-6 Nov 19</t>
  </si>
  <si>
    <t>Equity</t>
  </si>
  <si>
    <t>Investment Records for JWTO Partnership</t>
  </si>
  <si>
    <t>Last Updated:</t>
  </si>
  <si>
    <t>Total</t>
  </si>
  <si>
    <t>Total Equity</t>
  </si>
  <si>
    <t>Total Investment</t>
  </si>
  <si>
    <t>Total NAV</t>
  </si>
  <si>
    <t>P &amp; L</t>
  </si>
  <si>
    <t>P &amp; L %</t>
  </si>
  <si>
    <t>Transactions</t>
  </si>
  <si>
    <t>Debit</t>
  </si>
  <si>
    <t>Credit</t>
  </si>
  <si>
    <t>Cash Balance</t>
  </si>
  <si>
    <t>** Summary 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</si>
</sst>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#,##0.000"/>
    <numFmt numFmtId="165" formatCode="0.00_ ;[Red]\-0.00\ "/>
    <numFmt numFmtId="166" formatCode="#,##0.00_ ;[Red]\-#,##0.00\ "/>
    <numFmt numFmtId="167" formatCode="0.0%;[Red]\-0.0%"/>
  </numFmts>
  <fonts count="14" x14ac:knownFonts="1">
    <font>
      <sz val="10"/>
      <name val="Arial"/>
    </font>
    <font>
      <sz val="8"/>
      <color indexed="8"/>
      <name val="Arial"/>
      <family val="2"/>
    </font>
    <font>
      <sz val="8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sz val="10"/>
      <name val="Arial"/>
      <family val="2"/>
    </font>
    <font>
      <u/>
      <sz val="10"/>
      <color theme="11"/>
      <name val="Arial"/>
      <family val="2"/>
    </font>
    <font>
      <sz val="10"/>
      <color rgb="FF333333"/>
      <name val="Verdana"/>
      <family val="2"/>
    </font>
    <font>
      <b/>
      <sz val="10"/>
      <color rgb="FF333333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8"/>
      <color rgb="FFFF0000"/>
      <name val="Arial"/>
      <family val="2"/>
    </font>
    <font>
      <b/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</fills>
  <borders count="4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medium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medium">
        <color indexed="64"/>
      </right>
      <top/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/>
      <top/>
      <bottom style="medium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22"/>
      </right>
      <top/>
      <bottom/>
      <diagonal/>
    </border>
    <border>
      <left/>
      <right style="thin">
        <color indexed="22"/>
      </right>
      <top/>
      <bottom style="medium">
        <color indexed="64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thin">
        <color indexed="22"/>
      </bottom>
      <diagonal/>
    </border>
  </borders>
  <cellStyleXfs count="14">
    <xf numFmtId="0" fontId="0" fillId="0" borderId="0" applyNumberFormat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5">
    <xf numFmtId="0" fontId="0" fillId="0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4" fillId="0" borderId="3" xfId="0" applyNumberFormat="1" applyFont="1" applyFill="1" applyBorder="1" applyAlignment="1">
      <alignment wrapText="1"/>
    </xf>
    <xf numFmtId="14" fontId="4" fillId="0" borderId="3" xfId="0" applyNumberFormat="1" applyFont="1" applyFill="1" applyBorder="1" applyAlignment="1">
      <alignment wrapText="1"/>
    </xf>
    <xf numFmtId="14" fontId="4" fillId="0" borderId="0" xfId="0" applyNumberFormat="1" applyFont="1" applyFill="1" applyBorder="1" applyAlignment="1">
      <alignment wrapText="1"/>
    </xf>
    <xf numFmtId="3" fontId="2" fillId="0" borderId="0" xfId="0" applyNumberFormat="1" applyFont="1" applyFill="1" applyBorder="1" applyAlignment="1"/>
    <xf numFmtId="0" fontId="11" fillId="0" borderId="4" xfId="0" applyNumberFormat="1" applyFont="1" applyFill="1" applyBorder="1" applyAlignment="1">
      <alignment horizontal="left" vertical="center" wrapText="1"/>
    </xf>
    <xf numFmtId="0" fontId="10" fillId="0" borderId="4" xfId="0" applyNumberFormat="1" applyFont="1" applyFill="1" applyBorder="1" applyAlignment="1">
      <alignment horizontal="left" vertical="center" wrapText="1"/>
    </xf>
    <xf numFmtId="0" fontId="10" fillId="0" borderId="5" xfId="0" applyNumberFormat="1" applyFont="1" applyFill="1" applyBorder="1" applyAlignment="1">
      <alignment horizontal="left" vertical="center" wrapText="1"/>
    </xf>
    <xf numFmtId="0" fontId="10" fillId="0" borderId="6" xfId="0" applyNumberFormat="1" applyFont="1" applyFill="1" applyBorder="1" applyAlignment="1">
      <alignment horizontal="left" vertical="center" wrapText="1"/>
    </xf>
    <xf numFmtId="0" fontId="10" fillId="0" borderId="7" xfId="0" applyNumberFormat="1" applyFont="1" applyFill="1" applyBorder="1" applyAlignment="1">
      <alignment horizontal="left" vertical="center" wrapText="1"/>
    </xf>
    <xf numFmtId="16" fontId="10" fillId="0" borderId="4" xfId="0" quotePrefix="1" applyNumberFormat="1" applyFont="1" applyFill="1" applyBorder="1" applyAlignment="1">
      <alignment horizontal="left" vertical="center" wrapText="1"/>
    </xf>
    <xf numFmtId="0" fontId="5" fillId="2" borderId="0" xfId="0" applyNumberFormat="1" applyFont="1" applyFill="1" applyBorder="1" applyAlignment="1">
      <alignment horizontal="center" vertical="center" wrapText="1"/>
    </xf>
    <xf numFmtId="0" fontId="1" fillId="0" borderId="3" xfId="0" applyNumberFormat="1" applyFont="1" applyFill="1" applyBorder="1" applyAlignment="1">
      <alignment wrapText="1"/>
    </xf>
    <xf numFmtId="0" fontId="4" fillId="0" borderId="9" xfId="0" applyNumberFormat="1" applyFont="1" applyFill="1" applyBorder="1" applyAlignment="1">
      <alignment wrapText="1"/>
    </xf>
    <xf numFmtId="0" fontId="5" fillId="2" borderId="2" xfId="0" applyNumberFormat="1" applyFont="1" applyFill="1" applyBorder="1" applyAlignment="1">
      <alignment horizontal="center" vertical="center" wrapText="1"/>
    </xf>
    <xf numFmtId="4" fontId="2" fillId="0" borderId="0" xfId="0" applyNumberFormat="1" applyFont="1" applyFill="1" applyBorder="1" applyAlignment="1"/>
    <xf numFmtId="2" fontId="2" fillId="0" borderId="0" xfId="0" applyNumberFormat="1" applyFont="1" applyFill="1" applyBorder="1" applyAlignment="1"/>
    <xf numFmtId="14" fontId="1" fillId="0" borderId="3" xfId="0" applyNumberFormat="1" applyFont="1" applyFill="1" applyBorder="1" applyAlignment="1">
      <alignment horizontal="right" wrapText="1"/>
    </xf>
    <xf numFmtId="0" fontId="5" fillId="2" borderId="14" xfId="0" applyNumberFormat="1" applyFont="1" applyFill="1" applyBorder="1" applyAlignment="1">
      <alignment horizontal="center" vertical="center" wrapText="1"/>
    </xf>
    <xf numFmtId="0" fontId="5" fillId="2" borderId="15" xfId="0" applyNumberFormat="1" applyFont="1" applyFill="1" applyBorder="1" applyAlignment="1">
      <alignment horizontal="center" vertical="center" wrapText="1"/>
    </xf>
    <xf numFmtId="164" fontId="2" fillId="0" borderId="16" xfId="0" applyNumberFormat="1" applyFont="1" applyFill="1" applyBorder="1" applyAlignment="1"/>
    <xf numFmtId="3" fontId="2" fillId="0" borderId="16" xfId="0" applyNumberFormat="1" applyFont="1" applyFill="1" applyBorder="1" applyAlignment="1"/>
    <xf numFmtId="0" fontId="2" fillId="0" borderId="17" xfId="0" applyNumberFormat="1" applyFont="1" applyFill="1" applyBorder="1" applyAlignment="1"/>
    <xf numFmtId="0" fontId="5" fillId="2" borderId="20" xfId="0" applyNumberFormat="1" applyFont="1" applyFill="1" applyBorder="1" applyAlignment="1">
      <alignment horizontal="center" vertical="center" wrapText="1"/>
    </xf>
    <xf numFmtId="0" fontId="5" fillId="2" borderId="21" xfId="0" applyNumberFormat="1" applyFont="1" applyFill="1" applyBorder="1" applyAlignment="1">
      <alignment horizontal="center" vertical="center" wrapText="1"/>
    </xf>
    <xf numFmtId="0" fontId="5" fillId="2" borderId="22" xfId="0" applyNumberFormat="1" applyFont="1" applyFill="1" applyBorder="1" applyAlignment="1">
      <alignment horizontal="center" vertical="center" wrapText="1"/>
    </xf>
    <xf numFmtId="14" fontId="2" fillId="0" borderId="23" xfId="0" applyNumberFormat="1" applyFont="1" applyFill="1" applyBorder="1" applyAlignment="1"/>
    <xf numFmtId="0" fontId="2" fillId="0" borderId="24" xfId="0" applyNumberFormat="1" applyFont="1" applyFill="1" applyBorder="1" applyAlignment="1"/>
    <xf numFmtId="0" fontId="2" fillId="0" borderId="25" xfId="0" applyNumberFormat="1" applyFont="1" applyFill="1" applyBorder="1" applyAlignment="1"/>
    <xf numFmtId="0" fontId="5" fillId="2" borderId="28" xfId="0" applyNumberFormat="1" applyFont="1" applyFill="1" applyBorder="1" applyAlignment="1">
      <alignment horizontal="center" vertical="center" wrapText="1"/>
    </xf>
    <xf numFmtId="0" fontId="3" fillId="0" borderId="28" xfId="0" applyNumberFormat="1" applyFont="1" applyFill="1" applyBorder="1" applyAlignment="1"/>
    <xf numFmtId="0" fontId="3" fillId="0" borderId="19" xfId="0" applyNumberFormat="1" applyFont="1" applyFill="1" applyBorder="1" applyAlignment="1"/>
    <xf numFmtId="0" fontId="4" fillId="0" borderId="23" xfId="0" applyNumberFormat="1" applyFont="1" applyFill="1" applyBorder="1" applyAlignment="1"/>
    <xf numFmtId="0" fontId="0" fillId="0" borderId="24" xfId="0" applyNumberFormat="1" applyFont="1" applyFill="1" applyBorder="1" applyAlignment="1"/>
    <xf numFmtId="4" fontId="4" fillId="0" borderId="2" xfId="0" applyNumberFormat="1" applyFont="1" applyFill="1" applyBorder="1" applyAlignment="1">
      <alignment horizontal="right" wrapText="1"/>
    </xf>
    <xf numFmtId="0" fontId="2" fillId="0" borderId="23" xfId="0" applyNumberFormat="1" applyFont="1" applyFill="1" applyBorder="1" applyAlignment="1"/>
    <xf numFmtId="0" fontId="2" fillId="0" borderId="16" xfId="0" applyNumberFormat="1" applyFont="1" applyFill="1" applyBorder="1" applyAlignment="1"/>
    <xf numFmtId="0" fontId="3" fillId="0" borderId="18" xfId="0" applyNumberFormat="1" applyFont="1" applyFill="1" applyBorder="1" applyAlignment="1"/>
    <xf numFmtId="4" fontId="4" fillId="0" borderId="9" xfId="0" applyNumberFormat="1" applyFont="1" applyFill="1" applyBorder="1" applyAlignment="1">
      <alignment horizontal="right" wrapText="1"/>
    </xf>
    <xf numFmtId="3" fontId="4" fillId="0" borderId="29" xfId="0" applyNumberFormat="1" applyFont="1" applyFill="1" applyBorder="1" applyAlignment="1">
      <alignment horizontal="right" wrapText="1"/>
    </xf>
    <xf numFmtId="0" fontId="6" fillId="0" borderId="24" xfId="0" applyNumberFormat="1" applyFont="1" applyFill="1" applyBorder="1" applyAlignment="1"/>
    <xf numFmtId="0" fontId="4" fillId="0" borderId="1" xfId="0" applyNumberFormat="1" applyFont="1" applyFill="1" applyBorder="1" applyAlignment="1">
      <alignment wrapText="1"/>
    </xf>
    <xf numFmtId="14" fontId="4" fillId="0" borderId="1" xfId="0" applyNumberFormat="1" applyFont="1" applyFill="1" applyBorder="1" applyAlignment="1">
      <alignment wrapText="1"/>
    </xf>
    <xf numFmtId="4" fontId="4" fillId="0" borderId="1" xfId="0" applyNumberFormat="1" applyFont="1" applyFill="1" applyBorder="1" applyAlignment="1">
      <alignment horizontal="right" wrapText="1"/>
    </xf>
    <xf numFmtId="0" fontId="4" fillId="0" borderId="2" xfId="0" applyNumberFormat="1" applyFont="1" applyFill="1" applyBorder="1" applyAlignment="1">
      <alignment wrapText="1"/>
    </xf>
    <xf numFmtId="14" fontId="4" fillId="0" borderId="2" xfId="0" applyNumberFormat="1" applyFont="1" applyFill="1" applyBorder="1" applyAlignment="1">
      <alignment wrapText="1"/>
    </xf>
    <xf numFmtId="0" fontId="1" fillId="3" borderId="2" xfId="0" applyNumberFormat="1" applyFont="1" applyFill="1" applyBorder="1" applyAlignment="1">
      <alignment horizontal="right" wrapText="1"/>
    </xf>
    <xf numFmtId="14" fontId="4" fillId="3" borderId="2" xfId="0" applyNumberFormat="1" applyFont="1" applyFill="1" applyBorder="1" applyAlignment="1">
      <alignment wrapText="1"/>
    </xf>
    <xf numFmtId="165" fontId="2" fillId="0" borderId="0" xfId="0" applyNumberFormat="1" applyFont="1" applyFill="1" applyBorder="1" applyAlignment="1"/>
    <xf numFmtId="165" fontId="2" fillId="0" borderId="17" xfId="0" applyNumberFormat="1" applyFont="1" applyFill="1" applyBorder="1" applyAlignment="1"/>
    <xf numFmtId="165" fontId="12" fillId="0" borderId="25" xfId="0" applyNumberFormat="1" applyFont="1" applyFill="1" applyBorder="1" applyAlignment="1"/>
    <xf numFmtId="0" fontId="5" fillId="2" borderId="32" xfId="0" applyNumberFormat="1" applyFont="1" applyFill="1" applyBorder="1" applyAlignment="1">
      <alignment horizontal="center" vertical="center" wrapText="1"/>
    </xf>
    <xf numFmtId="0" fontId="5" fillId="2" borderId="33" xfId="0" applyNumberFormat="1" applyFont="1" applyFill="1" applyBorder="1" applyAlignment="1">
      <alignment horizontal="center" vertical="center" wrapText="1"/>
    </xf>
    <xf numFmtId="0" fontId="4" fillId="0" borderId="35" xfId="0" applyNumberFormat="1" applyFont="1" applyFill="1" applyBorder="1" applyAlignment="1">
      <alignment wrapText="1"/>
    </xf>
    <xf numFmtId="0" fontId="4" fillId="0" borderId="36" xfId="0" applyNumberFormat="1" applyFont="1" applyFill="1" applyBorder="1" applyAlignment="1">
      <alignment wrapText="1"/>
    </xf>
    <xf numFmtId="0" fontId="5" fillId="2" borderId="38" xfId="0" applyNumberFormat="1" applyFont="1" applyFill="1" applyBorder="1" applyAlignment="1">
      <alignment horizontal="center" vertical="center" wrapText="1"/>
    </xf>
    <xf numFmtId="0" fontId="5" fillId="2" borderId="39" xfId="0" applyNumberFormat="1" applyFont="1" applyFill="1" applyBorder="1" applyAlignment="1">
      <alignment horizontal="center" vertical="center" wrapText="1"/>
    </xf>
    <xf numFmtId="4" fontId="4" fillId="0" borderId="41" xfId="0" applyNumberFormat="1" applyFont="1" applyFill="1" applyBorder="1" applyAlignment="1">
      <alignment horizontal="right" wrapText="1"/>
    </xf>
    <xf numFmtId="4" fontId="4" fillId="0" borderId="42" xfId="0" applyNumberFormat="1" applyFont="1" applyFill="1" applyBorder="1" applyAlignment="1">
      <alignment horizontal="right" wrapText="1"/>
    </xf>
    <xf numFmtId="0" fontId="5" fillId="2" borderId="26" xfId="0" applyNumberFormat="1" applyFont="1" applyFill="1" applyBorder="1" applyAlignment="1">
      <alignment horizontal="center" vertical="center" wrapText="1"/>
    </xf>
    <xf numFmtId="0" fontId="5" fillId="2" borderId="44" xfId="0" applyNumberFormat="1" applyFont="1" applyFill="1" applyBorder="1" applyAlignment="1">
      <alignment horizontal="center" vertical="center" wrapText="1"/>
    </xf>
    <xf numFmtId="166" fontId="4" fillId="0" borderId="45" xfId="0" applyNumberFormat="1" applyFont="1" applyFill="1" applyBorder="1" applyAlignment="1">
      <alignment horizontal="right" wrapText="1"/>
    </xf>
    <xf numFmtId="0" fontId="4" fillId="0" borderId="29" xfId="0" applyNumberFormat="1" applyFont="1" applyFill="1" applyBorder="1" applyAlignment="1">
      <alignment wrapText="1"/>
    </xf>
    <xf numFmtId="0" fontId="4" fillId="0" borderId="45" xfId="0" applyNumberFormat="1" applyFont="1" applyFill="1" applyBorder="1" applyAlignment="1">
      <alignment wrapText="1"/>
    </xf>
    <xf numFmtId="0" fontId="4" fillId="0" borderId="12" xfId="0" applyNumberFormat="1" applyFont="1" applyFill="1" applyBorder="1" applyAlignment="1">
      <alignment wrapText="1"/>
    </xf>
    <xf numFmtId="0" fontId="4" fillId="0" borderId="13" xfId="0" applyNumberFormat="1" applyFont="1" applyFill="1" applyBorder="1" applyAlignment="1">
      <alignment wrapText="1"/>
    </xf>
    <xf numFmtId="0" fontId="2" fillId="0" borderId="10" xfId="0" applyNumberFormat="1" applyFont="1" applyFill="1" applyBorder="1" applyAlignment="1"/>
    <xf numFmtId="0" fontId="2" fillId="0" borderId="18" xfId="0" applyNumberFormat="1" applyFont="1" applyFill="1" applyBorder="1" applyAlignment="1"/>
    <xf numFmtId="165" fontId="2" fillId="0" borderId="11" xfId="0" applyNumberFormat="1" applyFont="1" applyFill="1" applyBorder="1" applyAlignment="1"/>
    <xf numFmtId="165" fontId="2" fillId="0" borderId="19" xfId="0" applyNumberFormat="1" applyFont="1" applyFill="1" applyBorder="1" applyAlignment="1"/>
    <xf numFmtId="167" fontId="2" fillId="0" borderId="0" xfId="0" applyNumberFormat="1" applyFont="1" applyFill="1" applyBorder="1" applyAlignment="1"/>
    <xf numFmtId="0" fontId="1" fillId="0" borderId="2" xfId="0" applyNumberFormat="1" applyFont="1" applyFill="1" applyBorder="1" applyAlignment="1">
      <alignment wrapText="1"/>
    </xf>
    <xf numFmtId="14" fontId="4" fillId="0" borderId="2" xfId="0" applyNumberFormat="1" applyFont="1" applyFill="1" applyBorder="1" applyAlignment="1">
      <alignment horizontal="center" wrapText="1"/>
    </xf>
    <xf numFmtId="0" fontId="1" fillId="0" borderId="34" xfId="0" applyNumberFormat="1" applyFont="1" applyFill="1" applyBorder="1" applyAlignment="1">
      <alignment wrapText="1"/>
    </xf>
    <xf numFmtId="166" fontId="1" fillId="0" borderId="14" xfId="0" applyNumberFormat="1" applyFont="1" applyFill="1" applyBorder="1" applyAlignment="1">
      <alignment horizontal="right" wrapText="1"/>
    </xf>
    <xf numFmtId="166" fontId="1" fillId="0" borderId="15" xfId="0" applyNumberFormat="1" applyFont="1" applyFill="1" applyBorder="1" applyAlignment="1">
      <alignment horizontal="right" wrapText="1"/>
    </xf>
    <xf numFmtId="4" fontId="1" fillId="0" borderId="40" xfId="0" applyNumberFormat="1" applyFont="1" applyFill="1" applyBorder="1" applyAlignment="1">
      <alignment horizontal="right" wrapText="1"/>
    </xf>
    <xf numFmtId="0" fontId="4" fillId="0" borderId="30" xfId="0" applyNumberFormat="1" applyFont="1" applyFill="1" applyBorder="1" applyAlignment="1">
      <alignment wrapText="1"/>
    </xf>
    <xf numFmtId="0" fontId="4" fillId="0" borderId="31" xfId="0" applyNumberFormat="1" applyFont="1" applyFill="1" applyBorder="1" applyAlignment="1">
      <alignment wrapText="1"/>
    </xf>
    <xf numFmtId="14" fontId="4" fillId="0" borderId="31" xfId="0" applyNumberFormat="1" applyFont="1" applyFill="1" applyBorder="1" applyAlignment="1">
      <alignment wrapText="1"/>
    </xf>
    <xf numFmtId="0" fontId="4" fillId="0" borderId="37" xfId="0" applyNumberFormat="1" applyFont="1" applyFill="1" applyBorder="1" applyAlignment="1">
      <alignment wrapText="1"/>
    </xf>
    <xf numFmtId="166" fontId="2" fillId="0" borderId="23" xfId="0" applyNumberFormat="1" applyFont="1" applyFill="1" applyBorder="1" applyAlignment="1"/>
    <xf numFmtId="4" fontId="4" fillId="0" borderId="43" xfId="0" applyNumberFormat="1" applyFont="1" applyFill="1" applyBorder="1" applyAlignment="1">
      <alignment horizontal="right" wrapText="1"/>
    </xf>
    <xf numFmtId="14" fontId="4" fillId="0" borderId="24" xfId="0" applyNumberFormat="1" applyFont="1" applyFill="1" applyBorder="1" applyAlignment="1">
      <alignment wrapText="1"/>
    </xf>
    <xf numFmtId="3" fontId="2" fillId="0" borderId="23" xfId="0" applyNumberFormat="1" applyFont="1" applyFill="1" applyBorder="1" applyAlignment="1"/>
    <xf numFmtId="165" fontId="12" fillId="0" borderId="24" xfId="0" applyNumberFormat="1" applyFont="1" applyFill="1" applyBorder="1" applyAlignment="1"/>
    <xf numFmtId="166" fontId="1" fillId="0" borderId="29" xfId="0" applyNumberFormat="1" applyFont="1" applyFill="1" applyBorder="1" applyAlignment="1">
      <alignment horizontal="right" wrapText="1"/>
    </xf>
    <xf numFmtId="166" fontId="1" fillId="0" borderId="17" xfId="0" applyNumberFormat="1" applyFont="1" applyFill="1" applyBorder="1" applyAlignment="1">
      <alignment horizontal="right" wrapText="1"/>
    </xf>
    <xf numFmtId="166" fontId="2" fillId="0" borderId="25" xfId="0" applyNumberFormat="1" applyFont="1" applyFill="1" applyBorder="1" applyAlignment="1"/>
    <xf numFmtId="0" fontId="6" fillId="0" borderId="23" xfId="0" applyNumberFormat="1" applyFont="1" applyFill="1" applyBorder="1" applyAlignment="1">
      <alignment horizontal="center" vertical="center"/>
    </xf>
    <xf numFmtId="0" fontId="0" fillId="0" borderId="25" xfId="0" applyNumberFormat="1" applyFont="1" applyFill="1" applyBorder="1" applyAlignment="1">
      <alignment horizontal="center" vertical="center"/>
    </xf>
    <xf numFmtId="0" fontId="5" fillId="2" borderId="21" xfId="0" applyNumberFormat="1" applyFont="1" applyFill="1" applyBorder="1" applyAlignment="1">
      <alignment horizontal="center" vertical="center" wrapText="1"/>
    </xf>
    <xf numFmtId="0" fontId="5" fillId="2" borderId="27" xfId="0" applyNumberFormat="1" applyFont="1" applyFill="1" applyBorder="1" applyAlignment="1">
      <alignment horizontal="center" vertical="center" wrapText="1"/>
    </xf>
    <xf numFmtId="0" fontId="5" fillId="2" borderId="20" xfId="0" applyNumberFormat="1" applyFont="1" applyFill="1" applyBorder="1" applyAlignment="1">
      <alignment horizontal="center" vertical="center" wrapText="1"/>
    </xf>
    <xf numFmtId="0" fontId="5" fillId="2" borderId="26" xfId="0" applyNumberFormat="1" applyFont="1" applyFill="1" applyBorder="1" applyAlignment="1">
      <alignment horizontal="center" vertical="center" wrapText="1"/>
    </xf>
    <xf numFmtId="0" fontId="10" fillId="0" borderId="5" xfId="0" applyNumberFormat="1" applyFont="1" applyFill="1" applyBorder="1" applyAlignment="1">
      <alignment horizontal="left" vertical="center" wrapText="1"/>
    </xf>
    <xf numFmtId="0" fontId="10" fillId="0" borderId="6" xfId="0" applyNumberFormat="1" applyFont="1" applyFill="1" applyBorder="1" applyAlignment="1">
      <alignment horizontal="left" vertical="center" wrapText="1"/>
    </xf>
    <xf numFmtId="0" fontId="10" fillId="0" borderId="7" xfId="0" applyNumberFormat="1" applyFont="1" applyFill="1" applyBorder="1" applyAlignment="1">
      <alignment horizontal="left" vertical="center" wrapText="1"/>
    </xf>
    <xf numFmtId="16" fontId="10" fillId="0" borderId="5" xfId="0" quotePrefix="1" applyNumberFormat="1" applyFont="1" applyFill="1" applyBorder="1" applyAlignment="1">
      <alignment horizontal="left" vertical="center" wrapText="1"/>
    </xf>
    <xf numFmtId="16" fontId="10" fillId="0" borderId="6" xfId="0" applyNumberFormat="1" applyFont="1" applyFill="1" applyBorder="1" applyAlignment="1">
      <alignment horizontal="left" vertical="center" wrapText="1"/>
    </xf>
    <xf numFmtId="16" fontId="10" fillId="0" borderId="7" xfId="0" applyNumberFormat="1" applyFont="1" applyFill="1" applyBorder="1" applyAlignment="1">
      <alignment horizontal="left" vertical="center" wrapText="1"/>
    </xf>
    <xf numFmtId="0" fontId="9" fillId="0" borderId="0" xfId="0" applyNumberFormat="1" applyFont="1" applyFill="1" applyBorder="1" applyAlignment="1">
      <alignment horizontal="left" vertical="center" wrapText="1"/>
    </xf>
    <xf numFmtId="0" fontId="8" fillId="0" borderId="8" xfId="0" applyNumberFormat="1" applyFont="1" applyFill="1" applyBorder="1" applyAlignment="1">
      <alignment horizontal="left" vertical="center" wrapText="1"/>
    </xf>
    <xf numFmtId="0" fontId="13" fillId="0" borderId="0" xfId="0" applyNumberFormat="1" applyFont="1" applyFill="1" applyBorder="1" applyAlignment="1"/>
  </cellXfs>
  <cellStyles count="14"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Normal" xfId="0" builtinId="0"/>
    <cellStyle name="Normal 2" xfId="1" xr:uid="{00000000-0005-0000-0000-00000B000000}"/>
    <cellStyle name="Normal 2 2" xfId="2" xr:uid="{00000000-0005-0000-0000-00000C000000}"/>
    <cellStyle name="Normal 3" xfId="3" xr:uid="{00000000-0005-0000-0000-00000D000000}"/>
    <cellStyle name="Normal 3 2" xfId="4" xr:uid="{00000000-0005-0000-0000-00000E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10000"/>
      <rgbColor rgb="00FFFFFF"/>
      <rgbColor rgb="00CCCCFF"/>
      <rgbColor rgb="00C0C0C0"/>
      <rgbColor rgb="00969696"/>
      <rgbColor rgb="00FFFF00"/>
      <rgbColor rgb="00FF00FF"/>
      <rgbColor rgb="0000FFFF"/>
      <rgbColor rgb="00800000"/>
      <rgbColor rgb="00008000"/>
      <rgbColor rgb="00000080"/>
      <rgbColor rgb="00808000"/>
      <rgbColor rgb="00808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CC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6FF33"/>
      <color rgb="FFCC99FF"/>
      <color rgb="FFFF66FF"/>
      <color rgb="FFFF00FF"/>
      <color rgb="FFDB8AE8"/>
      <color rgb="FFFF5050"/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1</xdr:col>
      <xdr:colOff>558800</xdr:colOff>
      <xdr:row>5</xdr:row>
      <xdr:rowOff>50800</xdr:rowOff>
    </xdr:to>
    <xdr:sp macro="" textlink="">
      <xdr:nvSpPr>
        <xdr:cNvPr id="1025" name="Control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600-000001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4</xdr:row>
      <xdr:rowOff>0</xdr:rowOff>
    </xdr:from>
    <xdr:to>
      <xdr:col>1</xdr:col>
      <xdr:colOff>558800</xdr:colOff>
      <xdr:row>5</xdr:row>
      <xdr:rowOff>50800</xdr:rowOff>
    </xdr:to>
    <xdr:sp macro="" textlink="">
      <xdr:nvSpPr>
        <xdr:cNvPr id="1026" name="Control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600-000002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4</xdr:row>
      <xdr:rowOff>0</xdr:rowOff>
    </xdr:from>
    <xdr:to>
      <xdr:col>1</xdr:col>
      <xdr:colOff>558800</xdr:colOff>
      <xdr:row>5</xdr:row>
      <xdr:rowOff>50800</xdr:rowOff>
    </xdr:to>
    <xdr:pic>
      <xdr:nvPicPr>
        <xdr:cNvPr id="2" name="Control 1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7800"/>
          <a:ext cx="1003300" cy="22860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1</xdr:col>
      <xdr:colOff>558800</xdr:colOff>
      <xdr:row>5</xdr:row>
      <xdr:rowOff>50800</xdr:rowOff>
    </xdr:to>
    <xdr:pic>
      <xdr:nvPicPr>
        <xdr:cNvPr id="3" name="Control 2" hidden="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7800"/>
          <a:ext cx="1003300" cy="22860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4:T24"/>
  <sheetViews>
    <sheetView tabSelected="1" workbookViewId="0">
      <selection activeCell="H21" sqref="H21"/>
    </sheetView>
  </sheetViews>
  <sheetFormatPr defaultColWidth="8.85546875" defaultRowHeight="11.25" x14ac:dyDescent="0.2"/>
  <cols>
    <col min="1" max="1" width="5.42578125" style="1" customWidth="1"/>
    <col min="2" max="3" width="9.42578125" style="1" customWidth="1"/>
    <col min="4" max="4" width="30.42578125" style="1" customWidth="1"/>
    <col min="5" max="9" width="10.140625" style="1" customWidth="1"/>
    <col min="10" max="10" width="9.42578125" style="1" customWidth="1"/>
    <col min="11" max="11" width="2.28515625" style="1" customWidth="1"/>
    <col min="12" max="12" width="12.42578125" style="1" customWidth="1"/>
    <col min="13" max="14" width="9" style="1" customWidth="1"/>
    <col min="15" max="15" width="9.42578125" style="1" customWidth="1"/>
    <col min="16" max="16" width="7.5703125" style="1" customWidth="1"/>
    <col min="17" max="17" width="8" style="1" customWidth="1"/>
    <col min="18" max="18" width="8.42578125" style="1" customWidth="1"/>
    <col min="19" max="16384" width="8.85546875" style="1"/>
  </cols>
  <sheetData>
    <row r="4" spans="1:20" ht="14.25" customHeight="1" thickBot="1" x14ac:dyDescent="0.25">
      <c r="A4"/>
      <c r="B4"/>
      <c r="C4"/>
      <c r="D4"/>
      <c r="E4"/>
      <c r="F4"/>
      <c r="G4"/>
      <c r="H4"/>
      <c r="I4"/>
      <c r="J4"/>
      <c r="K4"/>
    </row>
    <row r="5" spans="1:20" ht="14.25" customHeight="1" thickBot="1" x14ac:dyDescent="0.25">
      <c r="A5" s="33"/>
      <c r="B5" s="41" t="s">
        <v>61</v>
      </c>
      <c r="C5" s="34"/>
      <c r="D5" s="34"/>
      <c r="E5" s="34"/>
      <c r="F5" s="34"/>
      <c r="G5" s="34"/>
      <c r="H5" s="90" t="s">
        <v>69</v>
      </c>
      <c r="I5" s="91"/>
      <c r="J5" s="34"/>
      <c r="K5" s="34"/>
      <c r="L5" s="36"/>
      <c r="M5" s="28" t="s">
        <v>60</v>
      </c>
      <c r="N5" s="28"/>
      <c r="O5" s="28"/>
      <c r="P5" s="29"/>
      <c r="Q5" s="27">
        <v>43808</v>
      </c>
      <c r="R5" s="28"/>
      <c r="S5" s="28"/>
      <c r="T5" s="29"/>
    </row>
    <row r="6" spans="1:20" ht="24.75" customHeight="1" x14ac:dyDescent="0.2">
      <c r="A6" s="94" t="s">
        <v>0</v>
      </c>
      <c r="B6" s="92" t="s">
        <v>43</v>
      </c>
      <c r="C6" s="92" t="s">
        <v>1</v>
      </c>
      <c r="D6" s="92" t="s">
        <v>5</v>
      </c>
      <c r="E6" s="92" t="s">
        <v>46</v>
      </c>
      <c r="F6" s="92" t="s">
        <v>47</v>
      </c>
      <c r="G6" s="52" t="s">
        <v>48</v>
      </c>
      <c r="H6" s="24" t="s">
        <v>70</v>
      </c>
      <c r="I6" s="26" t="s">
        <v>71</v>
      </c>
      <c r="J6" s="56" t="s">
        <v>42</v>
      </c>
      <c r="K6" s="12"/>
      <c r="L6" s="37" t="s">
        <v>38</v>
      </c>
      <c r="M6" s="1" t="s">
        <v>39</v>
      </c>
      <c r="N6" s="1" t="s">
        <v>40</v>
      </c>
      <c r="O6" s="1" t="s">
        <v>41</v>
      </c>
      <c r="P6" s="23" t="s">
        <v>63</v>
      </c>
      <c r="Q6" s="24" t="s">
        <v>55</v>
      </c>
      <c r="R6" s="25" t="s">
        <v>53</v>
      </c>
      <c r="S6" s="25" t="s">
        <v>51</v>
      </c>
      <c r="T6" s="26" t="s">
        <v>51</v>
      </c>
    </row>
    <row r="7" spans="1:20" ht="17.25" customHeight="1" thickBot="1" x14ac:dyDescent="0.25">
      <c r="A7" s="95"/>
      <c r="B7" s="93"/>
      <c r="C7" s="93"/>
      <c r="D7" s="93"/>
      <c r="E7" s="93"/>
      <c r="F7" s="93"/>
      <c r="G7" s="53"/>
      <c r="H7" s="60"/>
      <c r="I7" s="61"/>
      <c r="J7" s="57" t="s">
        <v>2</v>
      </c>
      <c r="K7" s="30"/>
      <c r="L7" s="38"/>
      <c r="M7" s="31"/>
      <c r="N7" s="31"/>
      <c r="O7" s="31"/>
      <c r="P7" s="32"/>
      <c r="Q7" s="19" t="s">
        <v>54</v>
      </c>
      <c r="R7" s="15" t="s">
        <v>2</v>
      </c>
      <c r="S7" s="15" t="s">
        <v>2</v>
      </c>
      <c r="T7" s="20" t="s">
        <v>52</v>
      </c>
    </row>
    <row r="8" spans="1:20" ht="14.25" customHeight="1" x14ac:dyDescent="0.2">
      <c r="A8" s="45">
        <v>1</v>
      </c>
      <c r="B8" s="72" t="s">
        <v>49</v>
      </c>
      <c r="C8" s="73">
        <v>43770</v>
      </c>
      <c r="D8" s="72" t="s">
        <v>50</v>
      </c>
      <c r="E8" s="72" t="s">
        <v>44</v>
      </c>
      <c r="F8" s="72"/>
      <c r="G8" s="74"/>
      <c r="H8" s="75">
        <f>SUM(L8:O8)</f>
        <v>2000</v>
      </c>
      <c r="I8" s="76"/>
      <c r="J8" s="77">
        <f>SUM(L8:O8)</f>
        <v>2000</v>
      </c>
      <c r="K8" s="4"/>
      <c r="L8" s="37">
        <v>500</v>
      </c>
      <c r="M8" s="1">
        <v>500</v>
      </c>
      <c r="N8" s="1">
        <v>500</v>
      </c>
      <c r="O8" s="1">
        <v>500</v>
      </c>
      <c r="P8" s="23">
        <f>SUM(L8:O8)</f>
        <v>2000</v>
      </c>
      <c r="Q8" s="37"/>
      <c r="T8" s="23"/>
    </row>
    <row r="9" spans="1:20" ht="14.25" customHeight="1" x14ac:dyDescent="0.2">
      <c r="A9" s="2">
        <v>2</v>
      </c>
      <c r="B9" s="13" t="s">
        <v>45</v>
      </c>
      <c r="C9" s="3">
        <v>43768</v>
      </c>
      <c r="D9" s="13" t="s">
        <v>56</v>
      </c>
      <c r="E9" s="2">
        <v>8000</v>
      </c>
      <c r="F9" s="14">
        <v>0.155</v>
      </c>
      <c r="G9" s="54">
        <f>-I9-(E9*F9)</f>
        <v>10.8599999999999</v>
      </c>
      <c r="H9" s="37"/>
      <c r="I9" s="62">
        <v>-1250.8599999999999</v>
      </c>
      <c r="J9" s="16">
        <f>J8+I9</f>
        <v>749.1400000000001</v>
      </c>
      <c r="K9" s="4"/>
      <c r="L9" s="37"/>
      <c r="M9" s="39"/>
      <c r="N9" s="5"/>
      <c r="O9" s="5"/>
      <c r="P9" s="23"/>
      <c r="Q9" s="21">
        <v>0.155</v>
      </c>
      <c r="R9" s="17">
        <f>E9 * Q9</f>
        <v>1240</v>
      </c>
      <c r="S9" s="49">
        <f>R9+I9</f>
        <v>-10.8599999999999</v>
      </c>
      <c r="T9" s="50">
        <f>-S9/I9</f>
        <v>-8.6820267655851983E-3</v>
      </c>
    </row>
    <row r="10" spans="1:20" ht="14.25" customHeight="1" x14ac:dyDescent="0.2">
      <c r="A10" s="2">
        <v>3</v>
      </c>
      <c r="B10" s="13" t="s">
        <v>49</v>
      </c>
      <c r="C10" s="18" t="s">
        <v>59</v>
      </c>
      <c r="D10" s="13" t="s">
        <v>50</v>
      </c>
      <c r="E10" s="2"/>
      <c r="F10" s="14"/>
      <c r="G10" s="54"/>
      <c r="H10" s="87">
        <f>SUM(L10:O10)</f>
        <v>400</v>
      </c>
      <c r="I10" s="88"/>
      <c r="J10" s="16">
        <f>J9+H10</f>
        <v>1149.1400000000001</v>
      </c>
      <c r="K10" s="4"/>
      <c r="L10" s="40">
        <v>100</v>
      </c>
      <c r="M10" s="1">
        <v>100</v>
      </c>
      <c r="N10" s="5">
        <v>100</v>
      </c>
      <c r="O10" s="5">
        <v>100</v>
      </c>
      <c r="P10" s="23">
        <f t="shared" ref="P10:P15" si="0">SUM(L10:O10)</f>
        <v>400</v>
      </c>
      <c r="Q10" s="22"/>
      <c r="R10" s="17"/>
      <c r="S10" s="49"/>
      <c r="T10" s="50"/>
    </row>
    <row r="11" spans="1:20" ht="15" customHeight="1" x14ac:dyDescent="0.2">
      <c r="A11" s="2">
        <v>4</v>
      </c>
      <c r="B11" s="13" t="s">
        <v>45</v>
      </c>
      <c r="C11" s="3">
        <v>43777</v>
      </c>
      <c r="D11" s="13" t="s">
        <v>57</v>
      </c>
      <c r="E11" s="2">
        <v>3000</v>
      </c>
      <c r="F11" s="14">
        <v>0.34</v>
      </c>
      <c r="G11" s="54">
        <f>-I11-(E11*F11)</f>
        <v>10.78999999999985</v>
      </c>
      <c r="H11" s="37"/>
      <c r="I11" s="62">
        <v>-1030.79</v>
      </c>
      <c r="J11" s="16">
        <f>J10+I11</f>
        <v>118.35000000000014</v>
      </c>
      <c r="K11" s="4"/>
      <c r="L11" s="37"/>
      <c r="M11" s="39"/>
      <c r="N11" s="5"/>
      <c r="O11" s="5"/>
      <c r="P11" s="23"/>
      <c r="Q11" s="21">
        <v>0.28999999999999998</v>
      </c>
      <c r="R11" s="17">
        <f>E11 * Q11</f>
        <v>869.99999999999989</v>
      </c>
      <c r="S11" s="49">
        <f>R11+I11</f>
        <v>-160.79000000000008</v>
      </c>
      <c r="T11" s="50">
        <f>-S11/I11</f>
        <v>-0.15598715548268813</v>
      </c>
    </row>
    <row r="12" spans="1:20" ht="14.25" customHeight="1" x14ac:dyDescent="0.2">
      <c r="A12" s="2">
        <v>5</v>
      </c>
      <c r="B12" s="13" t="s">
        <v>49</v>
      </c>
      <c r="C12" s="18" t="s">
        <v>58</v>
      </c>
      <c r="D12" s="13" t="s">
        <v>50</v>
      </c>
      <c r="E12" s="2"/>
      <c r="F12" s="14"/>
      <c r="G12" s="54"/>
      <c r="H12" s="87">
        <f>SUM(L12:O12)</f>
        <v>400</v>
      </c>
      <c r="I12" s="88"/>
      <c r="J12" s="16">
        <f>J11+H12</f>
        <v>518.35000000000014</v>
      </c>
      <c r="K12" s="4"/>
      <c r="L12" s="40">
        <v>100</v>
      </c>
      <c r="M12" s="1">
        <v>100</v>
      </c>
      <c r="N12" s="5">
        <v>100</v>
      </c>
      <c r="O12" s="5">
        <v>100</v>
      </c>
      <c r="P12" s="23">
        <f t="shared" si="0"/>
        <v>400</v>
      </c>
      <c r="Q12" s="22"/>
      <c r="R12" s="17"/>
      <c r="S12" s="49"/>
      <c r="T12" s="50"/>
    </row>
    <row r="13" spans="1:20" ht="12.75" customHeight="1" x14ac:dyDescent="0.2">
      <c r="A13" s="2"/>
      <c r="B13" s="2"/>
      <c r="C13" s="3"/>
      <c r="D13" s="2"/>
      <c r="E13" s="2"/>
      <c r="F13" s="14"/>
      <c r="G13" s="54"/>
      <c r="H13" s="63"/>
      <c r="I13" s="64"/>
      <c r="J13" s="58"/>
      <c r="K13" s="4"/>
      <c r="L13" s="37"/>
      <c r="M13" s="39"/>
      <c r="N13" s="5"/>
      <c r="O13" s="5"/>
      <c r="P13" s="23"/>
      <c r="Q13" s="22"/>
      <c r="R13" s="5"/>
      <c r="S13" s="49"/>
      <c r="T13" s="50"/>
    </row>
    <row r="14" spans="1:20" ht="14.25" customHeight="1" thickBot="1" x14ac:dyDescent="0.25">
      <c r="A14" s="42"/>
      <c r="B14" s="42"/>
      <c r="C14" s="43"/>
      <c r="D14" s="42"/>
      <c r="E14" s="42"/>
      <c r="F14" s="42"/>
      <c r="G14" s="55"/>
      <c r="H14" s="65"/>
      <c r="I14" s="66"/>
      <c r="J14" s="59"/>
      <c r="K14" s="4"/>
      <c r="L14" s="37"/>
      <c r="M14" s="44"/>
      <c r="N14" s="5"/>
      <c r="O14" s="5"/>
      <c r="P14" s="23"/>
      <c r="Q14" s="22"/>
      <c r="R14" s="5"/>
      <c r="S14" s="49"/>
      <c r="T14" s="50"/>
    </row>
    <row r="15" spans="1:20" ht="14.25" customHeight="1" thickBot="1" x14ac:dyDescent="0.25">
      <c r="A15" s="78"/>
      <c r="B15" s="79"/>
      <c r="C15" s="80"/>
      <c r="D15" s="79"/>
      <c r="E15" s="79"/>
      <c r="F15" s="79"/>
      <c r="G15" s="81"/>
      <c r="H15" s="82">
        <f>SUM(H8:H13)</f>
        <v>2800</v>
      </c>
      <c r="I15" s="89">
        <f>SUM(I8:I13)</f>
        <v>-2281.6499999999996</v>
      </c>
      <c r="J15" s="83">
        <f>SUM(H8:H13)</f>
        <v>2800</v>
      </c>
      <c r="K15" s="84"/>
      <c r="L15" s="36">
        <f>SUM(L8:L13)</f>
        <v>700</v>
      </c>
      <c r="M15" s="28">
        <f>SUM(M8:M13)</f>
        <v>700</v>
      </c>
      <c r="N15" s="28">
        <f>SUM(N8:N13)</f>
        <v>700</v>
      </c>
      <c r="O15" s="28">
        <f>SUM(O8:O13)</f>
        <v>700</v>
      </c>
      <c r="P15" s="29">
        <f t="shared" si="0"/>
        <v>2800</v>
      </c>
      <c r="Q15" s="85"/>
      <c r="R15" s="28">
        <f>SUM(R8:R13)</f>
        <v>2110</v>
      </c>
      <c r="S15" s="86">
        <f>SUM(S8:S13)</f>
        <v>-171.64999999999998</v>
      </c>
      <c r="T15" s="51">
        <f>S15/P15</f>
        <v>-6.1303571428571423E-2</v>
      </c>
    </row>
    <row r="16" spans="1:20" ht="14.25" customHeight="1" thickBot="1" x14ac:dyDescent="0.25">
      <c r="A16" s="45"/>
      <c r="C16" s="46"/>
      <c r="D16" s="104" t="s">
        <v>73</v>
      </c>
      <c r="F16" s="45"/>
      <c r="G16" s="45"/>
      <c r="H16" s="45"/>
      <c r="I16" s="45"/>
      <c r="J16" s="35"/>
      <c r="K16" s="4"/>
      <c r="M16" s="35"/>
      <c r="N16" s="5"/>
      <c r="O16" s="5"/>
      <c r="P16" s="5"/>
      <c r="Q16" s="5"/>
      <c r="R16" s="5"/>
      <c r="S16" s="5"/>
    </row>
    <row r="17" spans="4:5" x14ac:dyDescent="0.2">
      <c r="D17" s="67" t="s">
        <v>64</v>
      </c>
      <c r="E17" s="69">
        <f>H15</f>
        <v>2800</v>
      </c>
    </row>
    <row r="18" spans="4:5" x14ac:dyDescent="0.2">
      <c r="D18" s="37" t="s">
        <v>65</v>
      </c>
      <c r="E18" s="50">
        <f>I15</f>
        <v>-2281.6499999999996</v>
      </c>
    </row>
    <row r="19" spans="4:5" ht="12" thickBot="1" x14ac:dyDescent="0.25">
      <c r="D19" s="68" t="s">
        <v>72</v>
      </c>
      <c r="E19" s="70">
        <f>E17+E18</f>
        <v>518.35000000000036</v>
      </c>
    </row>
    <row r="20" spans="4:5" x14ac:dyDescent="0.2">
      <c r="D20" s="1" t="s">
        <v>66</v>
      </c>
      <c r="E20" s="49">
        <f>R15</f>
        <v>2110</v>
      </c>
    </row>
    <row r="21" spans="4:5" x14ac:dyDescent="0.2">
      <c r="D21" s="1" t="s">
        <v>67</v>
      </c>
      <c r="E21" s="49">
        <f>E20+E18</f>
        <v>-171.64999999999964</v>
      </c>
    </row>
    <row r="22" spans="4:5" x14ac:dyDescent="0.2">
      <c r="D22" s="1" t="s">
        <v>68</v>
      </c>
      <c r="E22" s="71">
        <f>-E21/E18</f>
        <v>-7.5230644489733156E-2</v>
      </c>
    </row>
    <row r="24" spans="4:5" x14ac:dyDescent="0.2">
      <c r="D24" s="47" t="s">
        <v>62</v>
      </c>
      <c r="E24" s="48">
        <v>43808</v>
      </c>
    </row>
  </sheetData>
  <mergeCells count="7">
    <mergeCell ref="H5:I5"/>
    <mergeCell ref="D6:D7"/>
    <mergeCell ref="E6:E7"/>
    <mergeCell ref="A6:A7"/>
    <mergeCell ref="B6:B7"/>
    <mergeCell ref="C6:C7"/>
    <mergeCell ref="F6:F7"/>
  </mergeCells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3:D16"/>
  <sheetViews>
    <sheetView workbookViewId="0">
      <selection activeCell="F13" sqref="F13"/>
    </sheetView>
  </sheetViews>
  <sheetFormatPr defaultRowHeight="12.75" x14ac:dyDescent="0.2"/>
  <cols>
    <col min="1" max="1" width="30" customWidth="1"/>
    <col min="2" max="2" width="32.140625" customWidth="1"/>
    <col min="3" max="3" width="16.5703125" customWidth="1"/>
    <col min="4" max="4" width="9.42578125" customWidth="1"/>
  </cols>
  <sheetData>
    <row r="3" spans="1:4" ht="12.75" customHeight="1" x14ac:dyDescent="0.2">
      <c r="A3" s="102" t="s">
        <v>4</v>
      </c>
      <c r="B3" s="102"/>
      <c r="C3" s="102"/>
      <c r="D3" s="102"/>
    </row>
    <row r="4" spans="1:4" x14ac:dyDescent="0.2">
      <c r="A4" s="103"/>
      <c r="B4" s="103"/>
      <c r="C4" s="103"/>
      <c r="D4" s="103"/>
    </row>
    <row r="5" spans="1:4" x14ac:dyDescent="0.2">
      <c r="A5" s="6" t="s">
        <v>5</v>
      </c>
      <c r="B5" s="6" t="s">
        <v>3</v>
      </c>
      <c r="C5" s="6" t="s">
        <v>6</v>
      </c>
      <c r="D5" s="6" t="s">
        <v>7</v>
      </c>
    </row>
    <row r="6" spans="1:4" x14ac:dyDescent="0.2">
      <c r="A6" s="7" t="s">
        <v>8</v>
      </c>
      <c r="B6" s="7" t="s">
        <v>9</v>
      </c>
      <c r="C6" s="7" t="s">
        <v>10</v>
      </c>
      <c r="D6" s="11" t="s">
        <v>34</v>
      </c>
    </row>
    <row r="7" spans="1:4" x14ac:dyDescent="0.2">
      <c r="A7" s="96" t="s">
        <v>11</v>
      </c>
      <c r="B7" s="8" t="s">
        <v>12</v>
      </c>
      <c r="C7" s="96" t="s">
        <v>15</v>
      </c>
      <c r="D7" s="99" t="s">
        <v>35</v>
      </c>
    </row>
    <row r="8" spans="1:4" x14ac:dyDescent="0.2">
      <c r="A8" s="97"/>
      <c r="B8" s="9" t="s">
        <v>13</v>
      </c>
      <c r="C8" s="97"/>
      <c r="D8" s="100"/>
    </row>
    <row r="9" spans="1:4" x14ac:dyDescent="0.2">
      <c r="A9" s="98"/>
      <c r="B9" s="10" t="s">
        <v>14</v>
      </c>
      <c r="C9" s="98"/>
      <c r="D9" s="101"/>
    </row>
    <row r="10" spans="1:4" x14ac:dyDescent="0.2">
      <c r="A10" s="7" t="s">
        <v>16</v>
      </c>
      <c r="B10" s="7" t="s">
        <v>17</v>
      </c>
      <c r="C10" s="7" t="s">
        <v>18</v>
      </c>
      <c r="D10" s="11" t="s">
        <v>36</v>
      </c>
    </row>
    <row r="11" spans="1:4" x14ac:dyDescent="0.2">
      <c r="A11" s="7" t="s">
        <v>19</v>
      </c>
      <c r="B11" s="7" t="s">
        <v>20</v>
      </c>
      <c r="C11" s="7" t="s">
        <v>18</v>
      </c>
      <c r="D11" s="11" t="s">
        <v>34</v>
      </c>
    </row>
    <row r="12" spans="1:4" x14ac:dyDescent="0.2">
      <c r="A12" s="7" t="s">
        <v>21</v>
      </c>
      <c r="B12" s="7" t="s">
        <v>22</v>
      </c>
      <c r="C12" s="7" t="s">
        <v>23</v>
      </c>
      <c r="D12" s="11" t="s">
        <v>36</v>
      </c>
    </row>
    <row r="13" spans="1:4" ht="25.5" x14ac:dyDescent="0.2">
      <c r="A13" s="7" t="s">
        <v>24</v>
      </c>
      <c r="B13" s="7" t="s">
        <v>25</v>
      </c>
      <c r="C13" s="7" t="s">
        <v>26</v>
      </c>
      <c r="D13" s="11" t="s">
        <v>34</v>
      </c>
    </row>
    <row r="14" spans="1:4" ht="25.5" x14ac:dyDescent="0.2">
      <c r="A14" s="7" t="s">
        <v>27</v>
      </c>
      <c r="B14" s="7" t="s">
        <v>28</v>
      </c>
      <c r="C14" s="7" t="s">
        <v>28</v>
      </c>
      <c r="D14" s="11" t="s">
        <v>37</v>
      </c>
    </row>
    <row r="15" spans="1:4" x14ac:dyDescent="0.2">
      <c r="A15" s="7" t="s">
        <v>29</v>
      </c>
      <c r="B15" s="7" t="s">
        <v>30</v>
      </c>
      <c r="C15" s="7" t="s">
        <v>31</v>
      </c>
      <c r="D15" s="11" t="s">
        <v>34</v>
      </c>
    </row>
    <row r="16" spans="1:4" x14ac:dyDescent="0.2">
      <c r="A16" s="6" t="s">
        <v>32</v>
      </c>
      <c r="B16" s="7"/>
      <c r="C16" s="7"/>
      <c r="D16" s="6" t="s">
        <v>33</v>
      </c>
    </row>
  </sheetData>
  <mergeCells count="5">
    <mergeCell ref="A7:A9"/>
    <mergeCell ref="C7:C9"/>
    <mergeCell ref="D7:D9"/>
    <mergeCell ref="A3:D3"/>
    <mergeCell ref="A4:D4"/>
  </mergeCells>
  <pageMargins left="0.7" right="0.7" top="0.75" bottom="0.75" header="0.3" footer="0.3"/>
  <pageSetup paperSize="9"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51CE02-F737-44E8-8F12-6C304F9B02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UT Dividend-EPF</vt:lpstr>
      <vt:lpstr>Valuation-Orient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 Thian Huat</dc:creator>
  <cp:lastModifiedBy>USER2</cp:lastModifiedBy>
  <dcterms:created xsi:type="dcterms:W3CDTF">2010-10-02T14:14:09Z</dcterms:created>
  <dcterms:modified xsi:type="dcterms:W3CDTF">2019-12-09T09:43:56Z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068555c7-8112-4f5e-9578-33bf38ad81af</vt:lpwstr>
  </property>
</Properties>
</file>